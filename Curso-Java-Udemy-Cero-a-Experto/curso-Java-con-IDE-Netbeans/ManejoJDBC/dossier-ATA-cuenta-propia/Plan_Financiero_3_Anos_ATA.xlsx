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ssumptions" sheetId="1" state="visible" r:id="rId1"/>
    <sheet name="Opening_Balance" sheetId="2" state="visible" r:id="rId2"/>
    <sheet name="Year1_Monthly_Base" sheetId="3" state="visible" r:id="rId3"/>
    <sheet name="Scenarios_Y1" sheetId="4" state="visible" r:id="rId4"/>
    <sheet name="Three_Year_Summary" sheetId="5" state="visible" r:id="rId5"/>
    <sheet name="CapEx_Inventory"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4">
    <fill>
      <patternFill/>
    </fill>
    <fill>
      <patternFill patternType="gray125"/>
    </fill>
    <fill>
      <patternFill patternType="solid">
        <fgColor rgb="001F4E79"/>
      </patternFill>
    </fill>
    <fill>
      <patternFill patternType="solid">
        <fgColor rgb="00D6E3F0"/>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2" borderId="1" pivotButton="0" quotePrefix="0" xfId="0"/>
    <xf numFmtId="0" fontId="0" fillId="0" borderId="1" pivotButton="0" quotePrefix="0" xfId="0"/>
    <xf numFmtId="4" fontId="0" fillId="0" borderId="1" pivotButton="0" quotePrefix="0" xfId="0"/>
    <xf numFmtId="0" fontId="3" fillId="3" borderId="0" pivotButton="0" quotePrefix="0" xfId="0"/>
    <xf numFmtId="0" fontId="2" fillId="2" borderId="1" applyAlignment="1" pivotButton="0" quotePrefix="0" xfId="0">
      <alignment horizontal="center" wrapText="1"/>
    </xf>
    <xf numFmtId="0" fontId="3" fillId="0" borderId="0" pivotButton="0" quotePrefix="0" xfId="0"/>
    <xf numFmtId="4" fontId="3" fillId="0" borderId="1" pivotButton="0" quotePrefix="0" xfId="0"/>
    <xf numFmtId="4" fontId="0" fillId="0" borderId="0" pivotButton="0" quotePrefix="0" xfId="0"/>
    <xf numFmtId="0" fontId="0" fillId="0" borderId="0" applyAlignment="1" pivotButton="0" quotePrefix="0" xfId="0">
      <alignment vertical="top" wrapText="1"/>
    </xf>
    <xf numFmtId="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style val="10"/>
  <chart>
    <title>
      <tx>
        <rich>
          <a:bodyPr/>
          <a:p>
            <a:pPr>
              <a:defRPr/>
            </a:pPr>
            <a:r>
              <a:t>Revenue vs Fixed Costs — Year 1 (Base)</a:t>
            </a:r>
          </a:p>
        </rich>
      </tx>
    </title>
    <plotArea>
      <lineChart>
        <grouping val="standard"/>
        <ser>
          <idx val="0"/>
          <order val="0"/>
          <tx>
            <strRef>
              <f>'Year1_Monthly_Base'!A23</f>
            </strRef>
          </tx>
          <spPr>
            <a:ln>
              <a:prstDash val="solid"/>
            </a:ln>
          </spPr>
          <marker>
            <symbol val="none"/>
            <spPr>
              <a:ln>
                <a:prstDash val="solid"/>
              </a:ln>
            </spPr>
          </marker>
          <cat>
            <numRef>
              <f>'Year1_Monthly_Base'!$B$22:$M$22</f>
            </numRef>
          </cat>
          <val>
            <numRef>
              <f>'Year1_Monthly_Base'!$B$23:$M$23</f>
            </numRef>
          </val>
        </ser>
        <ser>
          <idx val="1"/>
          <order val="1"/>
          <tx>
            <strRef>
              <f>'Year1_Monthly_Base'!A24</f>
            </strRef>
          </tx>
          <spPr>
            <a:ln>
              <a:prstDash val="solid"/>
            </a:ln>
          </spPr>
          <marker>
            <symbol val="none"/>
            <spPr>
              <a:ln>
                <a:prstDash val="solid"/>
              </a:ln>
            </spPr>
          </marker>
          <cat>
            <numRef>
              <f>'Year1_Monthly_Base'!$B$22:$M$22</f>
            </numRef>
          </cat>
          <val>
            <numRef>
              <f>'Year1_Monthly_Base'!$B$24:$M$24</f>
            </numRef>
          </val>
        </ser>
        <axId val="10"/>
        <axId val="100"/>
      </lineChart>
      <catAx>
        <axId val="10"/>
        <scaling>
          <orientation val="minMax"/>
        </scaling>
        <axPos val="l"/>
        <title>
          <tx>
            <rich>
              <a:bodyPr/>
              <a:p>
                <a:pPr>
                  <a:defRPr/>
                </a:pPr>
                <a:r>
                  <a:t>Month</a:t>
                </a:r>
              </a:p>
            </rich>
          </tx>
        </title>
        <majorTickMark val="none"/>
        <minorTickMark val="none"/>
        <crossAx val="100"/>
        <lblOffset val="100"/>
      </catAx>
      <valAx>
        <axId val="100"/>
        <scaling>
          <orientation val="minMax"/>
        </scaling>
        <axPos val="l"/>
        <majorGridlines/>
        <title>
          <tx>
            <rich>
              <a:bodyPr/>
              <a:p>
                <a:pPr>
                  <a:defRPr/>
                </a:pPr>
                <a:r>
                  <a:t>EUR</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25</row>
      <rowOff>0</rowOff>
    </from>
    <ext cx="648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28" customWidth="1" min="1" max="1"/>
    <col width="12" customWidth="1" min="2" max="2"/>
    <col width="28" customWidth="1" min="3" max="3"/>
  </cols>
  <sheetData>
    <row r="1">
      <c r="A1" s="1" t="inlineStr">
        <is>
          <t>FINANCIAL ASSUMPTIONS — Business Plan ATA (Self-Employment)</t>
        </is>
      </c>
    </row>
    <row r="2">
      <c r="A2" t="inlineStr">
        <is>
          <t>Promoter: Ricardo [Last Name] | Sector: CNAE 6202 | Location: Tarragona (Catalonia)</t>
        </is>
      </c>
    </row>
    <row r="3">
      <c r="A3" t="inlineStr">
        <is>
          <t>Currency: EUR | Horizon: 3 years | Scenario focus: Base (prudent)</t>
        </is>
      </c>
    </row>
    <row r="4"/>
    <row r="5">
      <c r="A5" s="2" t="inlineStr">
        <is>
          <t>Parameter</t>
        </is>
      </c>
      <c r="B5" s="2" t="inlineStr">
        <is>
          <t>Value</t>
        </is>
      </c>
      <c r="C5" s="2" t="inlineStr">
        <is>
          <t>Notes</t>
        </is>
      </c>
    </row>
    <row r="6">
      <c r="A6" s="3" t="inlineStr">
        <is>
          <t>Seed cash (family loan 0%)</t>
        </is>
      </c>
      <c r="B6" s="4" t="n">
        <v>10000</v>
      </c>
      <c r="C6" s="3" t="inlineStr">
        <is>
          <t>Working capital / runway only — not for CapEx</t>
        </is>
      </c>
    </row>
    <row r="7">
      <c r="A7" s="3" t="inlineStr">
        <is>
          <t>CapEx already executed</t>
        </is>
      </c>
      <c r="B7" s="4" t="n">
        <v>3780</v>
      </c>
      <c r="C7" s="3" t="inlineStr">
        <is>
          <t>Replace with invoice totals</t>
        </is>
      </c>
    </row>
    <row r="8">
      <c r="A8" s="3" t="inlineStr">
        <is>
          <t>RETA (flat rate + MEI)</t>
        </is>
      </c>
      <c r="B8" s="4" t="n">
        <v>89</v>
      </c>
      <c r="C8" s="3" t="inlineStr">
        <is>
          <t>Approx. 80 + MEI 2026</t>
        </is>
      </c>
    </row>
    <row r="9">
      <c r="A9" s="3" t="inlineStr">
        <is>
          <t>Accounting firm</t>
        </is>
      </c>
      <c r="B9" s="4" t="n">
        <v>60</v>
      </c>
      <c r="C9" s="3" t="inlineStr">
        <is>
          <t>Monthly</t>
        </is>
      </c>
    </row>
    <row r="10">
      <c r="A10" s="3" t="inlineStr">
        <is>
          <t>SaaS / cloud / VPN</t>
        </is>
      </c>
      <c r="B10" s="4" t="n">
        <v>110</v>
      </c>
      <c r="C10" s="3" t="inlineStr">
        <is>
          <t>AWS + tools</t>
        </is>
      </c>
    </row>
    <row r="11">
      <c r="A11" s="3" t="inlineStr">
        <is>
          <t>Internet / utilities share</t>
        </is>
      </c>
      <c r="B11" s="4" t="n">
        <v>50</v>
      </c>
      <c r="C11" s="3" t="inlineStr">
        <is>
          <t>Home office allocation</t>
        </is>
      </c>
    </row>
    <row r="12">
      <c r="A12" s="3" t="inlineStr">
        <is>
          <t>Living costs / household</t>
        </is>
      </c>
      <c r="B12" s="4" t="n">
        <v>650</v>
      </c>
      <c r="C12" s="3" t="inlineStr">
        <is>
          <t>At or above IPREM (~600)</t>
        </is>
      </c>
    </row>
    <row r="13">
      <c r="A13" s="3" t="inlineStr">
        <is>
          <t>Professional liability (monthly avg)</t>
        </is>
      </c>
      <c r="B13" s="4" t="n">
        <v>20</v>
      </c>
      <c r="C13" s="3" t="inlineStr">
        <is>
          <t>RC profesional</t>
        </is>
      </c>
    </row>
    <row r="14">
      <c r="A14" s="3" t="inlineStr">
        <is>
          <t>Total fixed monthly burn</t>
        </is>
      </c>
      <c r="B14" s="4" t="n">
        <v>979</v>
      </c>
      <c r="C14" s="3" t="inlineStr">
        <is>
          <t>Base burn rate</t>
        </is>
      </c>
    </row>
    <row r="15">
      <c r="A15" s="3" t="inlineStr">
        <is>
          <t>Runway at zero revenue (months)</t>
        </is>
      </c>
      <c r="B15" s="4" t="n">
        <v>10.2</v>
      </c>
      <c r="C15" s="3" t="inlineStr">
        <is>
          <t>Cash / burn</t>
        </is>
      </c>
    </row>
    <row r="16">
      <c r="A16" s="3" t="inlineStr">
        <is>
          <t>IPREM monthly (ref. 2026)</t>
        </is>
      </c>
      <c r="B16" s="4" t="n">
        <v>600</v>
      </c>
      <c r="C16" s="3" t="inlineStr">
        <is>
          <t>Subsistence reference</t>
        </is>
      </c>
    </row>
    <row r="17">
      <c r="A17" s="3" t="inlineStr">
        <is>
          <t>Year 2 revenue growth vs Y1</t>
        </is>
      </c>
      <c r="B17" s="3" t="inlineStr">
        <is>
          <t>20%</t>
        </is>
      </c>
      <c r="C17" s="3" t="inlineStr">
        <is>
          <t>Moderate</t>
        </is>
      </c>
    </row>
    <row r="18">
      <c r="A18" s="3" t="inlineStr">
        <is>
          <t>Year 3 revenue growth vs Y2</t>
        </is>
      </c>
      <c r="B18" s="3" t="inlineStr">
        <is>
          <t>18%</t>
        </is>
      </c>
      <c r="C18" s="3" t="inlineStr">
        <is>
          <t>Moderate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28" customWidth="1" min="1" max="1"/>
    <col width="14" customWidth="1" min="2" max="2"/>
    <col width="28" customWidth="1" min="3" max="3"/>
  </cols>
  <sheetData>
    <row r="1">
      <c r="A1" s="1" t="inlineStr">
        <is>
          <t>OPENING BALANCE SHEET (Day 0)</t>
        </is>
      </c>
    </row>
    <row r="2">
      <c r="A2" t="inlineStr">
        <is>
          <t>Asset-light model: CapEx already owned; 10,000 EUR cash as working capital</t>
        </is>
      </c>
    </row>
    <row r="3"/>
    <row r="4">
      <c r="A4" s="5" t="inlineStr">
        <is>
          <t>ASSETS</t>
        </is>
      </c>
    </row>
    <row r="5">
      <c r="A5" s="6" t="inlineStr">
        <is>
          <t>Item</t>
        </is>
      </c>
      <c r="B5" s="6" t="inlineStr">
        <is>
          <t>Amount (EUR)</t>
        </is>
      </c>
      <c r="C5" s="6" t="inlineStr">
        <is>
          <t>Evidence</t>
        </is>
      </c>
    </row>
    <row r="6">
      <c r="A6" t="inlineStr">
        <is>
          <t>Cash and cash equivalents (seed)</t>
        </is>
      </c>
      <c r="B6" s="4" t="n">
        <v>10000</v>
      </c>
      <c r="C6" t="inlineStr">
        <is>
          <t>Bank transfer + Modelo 600 + loan contract</t>
        </is>
      </c>
    </row>
    <row r="7">
      <c r="A7" t="inlineStr">
        <is>
          <t>Property, plant &amp; equipment (home office)</t>
        </is>
      </c>
      <c r="B7" s="4" t="n">
        <v>3780</v>
      </c>
      <c r="C7" t="inlineStr">
        <is>
          <t>Invoices / alternative proof — Annex CapEx</t>
        </is>
      </c>
    </row>
    <row r="8"/>
    <row r="9">
      <c r="A9" t="inlineStr">
        <is>
          <t xml:space="preserve">   - Apple MacBook Pro (workstation)</t>
        </is>
      </c>
      <c r="B9" s="4" t="n">
        <v>2400</v>
      </c>
      <c r="C9" t="inlineStr">
        <is>
          <t>Adjust to invoice</t>
        </is>
      </c>
    </row>
    <row r="10">
      <c r="A10" t="inlineStr">
        <is>
          <t xml:space="preserve">   - 2x LG UltraGear 27" monitors</t>
        </is>
      </c>
      <c r="B10" s="4" t="n">
        <v>450</v>
      </c>
      <c r="C10" t="inlineStr">
        <is>
          <t>Adjust to invoice</t>
        </is>
      </c>
    </row>
    <row r="11">
      <c r="A11" t="inlineStr">
        <is>
          <t xml:space="preserve">   - Ergonomic chair</t>
        </is>
      </c>
      <c r="B11" s="4" t="n">
        <v>650</v>
      </c>
      <c r="C11" t="inlineStr">
        <is>
          <t>Adjust to invoice</t>
        </is>
      </c>
    </row>
    <row r="12">
      <c r="A12" t="inlineStr">
        <is>
          <t xml:space="preserve">   - Height-adjustable desk</t>
        </is>
      </c>
      <c r="B12" s="4" t="n">
        <v>280</v>
      </c>
      <c r="C12" t="inlineStr">
        <is>
          <t>Adjust to invoice</t>
        </is>
      </c>
    </row>
    <row r="13"/>
    <row r="14">
      <c r="A14" s="7" t="inlineStr">
        <is>
          <t>TOTAL ASSETS</t>
        </is>
      </c>
      <c r="B14" s="8" t="n">
        <v>13780</v>
      </c>
    </row>
    <row r="15"/>
    <row r="16">
      <c r="A16" s="5" t="inlineStr">
        <is>
          <t>EQUITY &amp; LIABILITIES</t>
        </is>
      </c>
    </row>
    <row r="17">
      <c r="A17" s="6" t="inlineStr">
        <is>
          <t>Item</t>
        </is>
      </c>
      <c r="B17" s="6" t="inlineStr">
        <is>
          <t>Amount (EUR)</t>
        </is>
      </c>
      <c r="C17" s="6" t="inlineStr">
        <is>
          <t>Evidence</t>
        </is>
      </c>
    </row>
    <row r="18">
      <c r="A18" t="inlineStr">
        <is>
          <t>Family loan (0% interest) — Renzo [Last Name]</t>
        </is>
      </c>
      <c r="B18" s="4" t="n">
        <v>10000</v>
      </c>
      <c r="C18" t="inlineStr">
        <is>
          <t>Private loan contract + Modelo 600</t>
        </is>
      </c>
    </row>
    <row r="19">
      <c r="A19" t="inlineStr">
        <is>
          <t>Owner contribution in kind (equipment)</t>
        </is>
      </c>
      <c r="B19" s="4" t="n">
        <v>3780</v>
      </c>
      <c r="C19" t="inlineStr">
        <is>
          <t>Equipment already owned by promoter</t>
        </is>
      </c>
    </row>
    <row r="20"/>
    <row r="21">
      <c r="A21" s="7" t="inlineStr">
        <is>
          <t>TOTAL EQUITY &amp; LIABILITIES</t>
        </is>
      </c>
      <c r="B21" s="8" t="n">
        <v>13780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4"/>
  <sheetViews>
    <sheetView workbookViewId="0">
      <selection activeCell="A1" sqref="A1"/>
    </sheetView>
  </sheetViews>
  <sheetFormatPr baseColWidth="8" defaultRowHeight="15"/>
  <cols>
    <col width="22" customWidth="1" min="1" max="1"/>
    <col width="22"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2" customWidth="1" min="14" max="14"/>
  </cols>
  <sheetData>
    <row r="1">
      <c r="A1" s="1" t="inlineStr">
        <is>
          <t>YEAR 1 — MONTHLY P&amp;L AND CASH FLOW (BASE SCENARIO)</t>
        </is>
      </c>
    </row>
    <row r="2">
      <c r="A2" t="inlineStr">
        <is>
          <t>Fixed monthly costs: 979.00 EUR | Opening cash: 10000.00 EUR</t>
        </is>
      </c>
    </row>
    <row r="3"/>
    <row r="4">
      <c r="A4" s="6" t="inlineStr">
        <is>
          <t>Concept</t>
        </is>
      </c>
      <c r="B4" s="6" t="inlineStr">
        <is>
          <t>M1</t>
        </is>
      </c>
      <c r="C4" s="6" t="inlineStr">
        <is>
          <t>M2</t>
        </is>
      </c>
      <c r="D4" s="6" t="inlineStr">
        <is>
          <t>M3</t>
        </is>
      </c>
      <c r="E4" s="6" t="inlineStr">
        <is>
          <t>M4</t>
        </is>
      </c>
      <c r="F4" s="6" t="inlineStr">
        <is>
          <t>M5</t>
        </is>
      </c>
      <c r="G4" s="6" t="inlineStr">
        <is>
          <t>M6</t>
        </is>
      </c>
      <c r="H4" s="6" t="inlineStr">
        <is>
          <t>M7</t>
        </is>
      </c>
      <c r="I4" s="6" t="inlineStr">
        <is>
          <t>M8</t>
        </is>
      </c>
      <c r="J4" s="6" t="inlineStr">
        <is>
          <t>M9</t>
        </is>
      </c>
      <c r="K4" s="6" t="inlineStr">
        <is>
          <t>M10</t>
        </is>
      </c>
      <c r="L4" s="6" t="inlineStr">
        <is>
          <t>M11</t>
        </is>
      </c>
      <c r="M4" s="6" t="inlineStr">
        <is>
          <t>M12</t>
        </is>
      </c>
      <c r="N4" s="6" t="inlineStr">
        <is>
          <t>YEAR TOTAL</t>
        </is>
      </c>
    </row>
    <row r="5">
      <c r="A5" t="inlineStr">
        <is>
          <t>Revenue (services)</t>
        </is>
      </c>
      <c r="B5" s="4" t="n">
        <v>150</v>
      </c>
      <c r="C5" s="4" t="n">
        <v>200</v>
      </c>
      <c r="D5" s="4" t="n">
        <v>300</v>
      </c>
      <c r="E5" s="4" t="n">
        <v>700</v>
      </c>
      <c r="F5" s="4" t="n">
        <v>900</v>
      </c>
      <c r="G5" s="4" t="n">
        <v>1000</v>
      </c>
      <c r="H5" s="4" t="n">
        <v>1300</v>
      </c>
      <c r="I5" s="4" t="n">
        <v>1500</v>
      </c>
      <c r="J5" s="4" t="n">
        <v>1600</v>
      </c>
      <c r="K5" s="4" t="n">
        <v>1800</v>
      </c>
      <c r="L5" s="4" t="n">
        <v>2000</v>
      </c>
      <c r="M5" s="4" t="n">
        <v>2200</v>
      </c>
      <c r="N5" s="4" t="n">
        <v>13650</v>
      </c>
    </row>
    <row r="6">
      <c r="A6" t="inlineStr">
        <is>
          <t>RETA (SS)</t>
        </is>
      </c>
      <c r="B6" s="4" t="n">
        <v>89</v>
      </c>
      <c r="C6" s="4" t="n">
        <v>89</v>
      </c>
      <c r="D6" s="4" t="n">
        <v>89</v>
      </c>
      <c r="E6" s="4" t="n">
        <v>89</v>
      </c>
      <c r="F6" s="4" t="n">
        <v>89</v>
      </c>
      <c r="G6" s="4" t="n">
        <v>89</v>
      </c>
      <c r="H6" s="4" t="n">
        <v>89</v>
      </c>
      <c r="I6" s="4" t="n">
        <v>89</v>
      </c>
      <c r="J6" s="4" t="n">
        <v>89</v>
      </c>
      <c r="K6" s="4" t="n">
        <v>89</v>
      </c>
      <c r="L6" s="4" t="n">
        <v>89</v>
      </c>
      <c r="M6" s="4" t="n">
        <v>89</v>
      </c>
      <c r="N6" s="4" t="n">
        <v>1068</v>
      </c>
    </row>
    <row r="7">
      <c r="A7" t="inlineStr">
        <is>
          <t>Accounting firm</t>
        </is>
      </c>
      <c r="B7" s="4" t="n">
        <v>60</v>
      </c>
      <c r="C7" s="4" t="n">
        <v>60</v>
      </c>
      <c r="D7" s="4" t="n">
        <v>60</v>
      </c>
      <c r="E7" s="4" t="n">
        <v>60</v>
      </c>
      <c r="F7" s="4" t="n">
        <v>60</v>
      </c>
      <c r="G7" s="4" t="n">
        <v>60</v>
      </c>
      <c r="H7" s="4" t="n">
        <v>60</v>
      </c>
      <c r="I7" s="4" t="n">
        <v>60</v>
      </c>
      <c r="J7" s="4" t="n">
        <v>60</v>
      </c>
      <c r="K7" s="4" t="n">
        <v>60</v>
      </c>
      <c r="L7" s="4" t="n">
        <v>60</v>
      </c>
      <c r="M7" s="4" t="n">
        <v>60</v>
      </c>
      <c r="N7" s="4" t="n">
        <v>720</v>
      </c>
    </row>
    <row r="8">
      <c r="A8" t="inlineStr">
        <is>
          <t>SaaS / cloud / VPN</t>
        </is>
      </c>
      <c r="B8" s="4" t="n">
        <v>110</v>
      </c>
      <c r="C8" s="4" t="n">
        <v>110</v>
      </c>
      <c r="D8" s="4" t="n">
        <v>110</v>
      </c>
      <c r="E8" s="4" t="n">
        <v>110</v>
      </c>
      <c r="F8" s="4" t="n">
        <v>110</v>
      </c>
      <c r="G8" s="4" t="n">
        <v>110</v>
      </c>
      <c r="H8" s="4" t="n">
        <v>110</v>
      </c>
      <c r="I8" s="4" t="n">
        <v>110</v>
      </c>
      <c r="J8" s="4" t="n">
        <v>110</v>
      </c>
      <c r="K8" s="4" t="n">
        <v>110</v>
      </c>
      <c r="L8" s="4" t="n">
        <v>110</v>
      </c>
      <c r="M8" s="4" t="n">
        <v>110</v>
      </c>
      <c r="N8" s="4" t="n">
        <v>1320</v>
      </c>
    </row>
    <row r="9">
      <c r="A9" t="inlineStr">
        <is>
          <t>Internet / utilities share</t>
        </is>
      </c>
      <c r="B9" s="4" t="n">
        <v>50</v>
      </c>
      <c r="C9" s="4" t="n">
        <v>50</v>
      </c>
      <c r="D9" s="4" t="n">
        <v>50</v>
      </c>
      <c r="E9" s="4" t="n">
        <v>50</v>
      </c>
      <c r="F9" s="4" t="n">
        <v>50</v>
      </c>
      <c r="G9" s="4" t="n">
        <v>50</v>
      </c>
      <c r="H9" s="4" t="n">
        <v>50</v>
      </c>
      <c r="I9" s="4" t="n">
        <v>50</v>
      </c>
      <c r="J9" s="4" t="n">
        <v>50</v>
      </c>
      <c r="K9" s="4" t="n">
        <v>50</v>
      </c>
      <c r="L9" s="4" t="n">
        <v>50</v>
      </c>
      <c r="M9" s="4" t="n">
        <v>50</v>
      </c>
      <c r="N9" s="4" t="n">
        <v>600</v>
      </c>
    </row>
    <row r="10">
      <c r="A10" t="inlineStr">
        <is>
          <t>Living / household contribution</t>
        </is>
      </c>
      <c r="B10" s="4" t="n">
        <v>650</v>
      </c>
      <c r="C10" s="4" t="n">
        <v>650</v>
      </c>
      <c r="D10" s="4" t="n">
        <v>650</v>
      </c>
      <c r="E10" s="4" t="n">
        <v>650</v>
      </c>
      <c r="F10" s="4" t="n">
        <v>650</v>
      </c>
      <c r="G10" s="4" t="n">
        <v>650</v>
      </c>
      <c r="H10" s="4" t="n">
        <v>650</v>
      </c>
      <c r="I10" s="4" t="n">
        <v>650</v>
      </c>
      <c r="J10" s="4" t="n">
        <v>650</v>
      </c>
      <c r="K10" s="4" t="n">
        <v>650</v>
      </c>
      <c r="L10" s="4" t="n">
        <v>650</v>
      </c>
      <c r="M10" s="4" t="n">
        <v>650</v>
      </c>
      <c r="N10" s="4" t="n">
        <v>7800</v>
      </c>
    </row>
    <row r="11">
      <c r="A11" t="inlineStr">
        <is>
          <t>Professional liability (avg)</t>
        </is>
      </c>
      <c r="B11" s="4" t="n">
        <v>20</v>
      </c>
      <c r="C11" s="4" t="n">
        <v>20</v>
      </c>
      <c r="D11" s="4" t="n">
        <v>20</v>
      </c>
      <c r="E11" s="4" t="n">
        <v>20</v>
      </c>
      <c r="F11" s="4" t="n">
        <v>20</v>
      </c>
      <c r="G11" s="4" t="n">
        <v>20</v>
      </c>
      <c r="H11" s="4" t="n">
        <v>20</v>
      </c>
      <c r="I11" s="4" t="n">
        <v>20</v>
      </c>
      <c r="J11" s="4" t="n">
        <v>20</v>
      </c>
      <c r="K11" s="4" t="n">
        <v>20</v>
      </c>
      <c r="L11" s="4" t="n">
        <v>20</v>
      </c>
      <c r="M11" s="4" t="n">
        <v>20</v>
      </c>
      <c r="N11" s="4" t="n">
        <v>240</v>
      </c>
    </row>
    <row r="12">
      <c r="A12" s="7" t="inlineStr">
        <is>
          <t>Total operating costs</t>
        </is>
      </c>
      <c r="B12" s="4" t="n">
        <v>979</v>
      </c>
      <c r="C12" s="4" t="n">
        <v>979</v>
      </c>
      <c r="D12" s="4" t="n">
        <v>979</v>
      </c>
      <c r="E12" s="4" t="n">
        <v>979</v>
      </c>
      <c r="F12" s="4" t="n">
        <v>979</v>
      </c>
      <c r="G12" s="4" t="n">
        <v>979</v>
      </c>
      <c r="H12" s="4" t="n">
        <v>979</v>
      </c>
      <c r="I12" s="4" t="n">
        <v>979</v>
      </c>
      <c r="J12" s="4" t="n">
        <v>979</v>
      </c>
      <c r="K12" s="4" t="n">
        <v>979</v>
      </c>
      <c r="L12" s="4" t="n">
        <v>979</v>
      </c>
      <c r="M12" s="4" t="n">
        <v>979</v>
      </c>
      <c r="N12" s="4" t="n">
        <v>11748</v>
      </c>
    </row>
    <row r="13">
      <c r="A13" s="7" t="inlineStr">
        <is>
          <t>Operating result (Rev - Costs)</t>
        </is>
      </c>
      <c r="B13" s="4" t="n">
        <v>-829</v>
      </c>
      <c r="C13" s="4" t="n">
        <v>-779</v>
      </c>
      <c r="D13" s="4" t="n">
        <v>-679</v>
      </c>
      <c r="E13" s="4" t="n">
        <v>-279</v>
      </c>
      <c r="F13" s="4" t="n">
        <v>-79</v>
      </c>
      <c r="G13" s="4" t="n">
        <v>21</v>
      </c>
      <c r="H13" s="4" t="n">
        <v>321</v>
      </c>
      <c r="I13" s="4" t="n">
        <v>521</v>
      </c>
      <c r="J13" s="4" t="n">
        <v>621</v>
      </c>
      <c r="K13" s="4" t="n">
        <v>821</v>
      </c>
      <c r="L13" s="4" t="n">
        <v>1021</v>
      </c>
      <c r="M13" s="4" t="n">
        <v>1221</v>
      </c>
      <c r="N13" s="4" t="n">
        <v>1902</v>
      </c>
    </row>
    <row r="14"/>
    <row r="15">
      <c r="A15" t="inlineStr">
        <is>
          <t>Opening cash</t>
        </is>
      </c>
      <c r="B15" s="4" t="n">
        <v>10000</v>
      </c>
      <c r="C15" s="4" t="n">
        <v>9171</v>
      </c>
      <c r="D15" s="4" t="n">
        <v>8392</v>
      </c>
      <c r="E15" s="4" t="n">
        <v>7713</v>
      </c>
      <c r="F15" s="4" t="n">
        <v>7434</v>
      </c>
      <c r="G15" s="4" t="n">
        <v>7355</v>
      </c>
      <c r="H15" s="4" t="n">
        <v>7376</v>
      </c>
      <c r="I15" s="4" t="n">
        <v>7697</v>
      </c>
      <c r="J15" s="4" t="n">
        <v>8218</v>
      </c>
      <c r="K15" s="4" t="n">
        <v>8839</v>
      </c>
      <c r="L15" s="4" t="n">
        <v>9660</v>
      </c>
      <c r="M15" s="4" t="n">
        <v>10681</v>
      </c>
      <c r="N15" s="4" t="n">
        <v>10000</v>
      </c>
    </row>
    <row r="16">
      <c r="A16" t="inlineStr">
        <is>
          <t>Net cash movement</t>
        </is>
      </c>
      <c r="B16" s="4" t="n">
        <v>-829</v>
      </c>
      <c r="C16" s="4" t="n">
        <v>-779</v>
      </c>
      <c r="D16" s="4" t="n">
        <v>-679</v>
      </c>
      <c r="E16" s="4" t="n">
        <v>-279</v>
      </c>
      <c r="F16" s="4" t="n">
        <v>-79</v>
      </c>
      <c r="G16" s="4" t="n">
        <v>21</v>
      </c>
      <c r="H16" s="4" t="n">
        <v>321</v>
      </c>
      <c r="I16" s="4" t="n">
        <v>521</v>
      </c>
      <c r="J16" s="4" t="n">
        <v>621</v>
      </c>
      <c r="K16" s="4" t="n">
        <v>821</v>
      </c>
      <c r="L16" s="4" t="n">
        <v>1021</v>
      </c>
      <c r="M16" s="4" t="n">
        <v>1221</v>
      </c>
      <c r="N16" s="4" t="n">
        <v>1902</v>
      </c>
    </row>
    <row r="17">
      <c r="A17" s="7" t="inlineStr">
        <is>
          <t>Closing cash</t>
        </is>
      </c>
      <c r="B17" s="4" t="n">
        <v>9171</v>
      </c>
      <c r="C17" s="4" t="n">
        <v>8392</v>
      </c>
      <c r="D17" s="4" t="n">
        <v>7713</v>
      </c>
      <c r="E17" s="4" t="n">
        <v>7434</v>
      </c>
      <c r="F17" s="4" t="n">
        <v>7355</v>
      </c>
      <c r="G17" s="4" t="n">
        <v>7376</v>
      </c>
      <c r="H17" s="4" t="n">
        <v>7697</v>
      </c>
      <c r="I17" s="4" t="n">
        <v>8218</v>
      </c>
      <c r="J17" s="4" t="n">
        <v>8839</v>
      </c>
      <c r="K17" s="4" t="n">
        <v>9660</v>
      </c>
      <c r="L17" s="4" t="n">
        <v>10681</v>
      </c>
      <c r="M17" s="4" t="n">
        <v>11902</v>
      </c>
      <c r="N17" s="4" t="n">
        <v>11902</v>
      </c>
    </row>
    <row r="18"/>
    <row r="19">
      <c r="A19" t="inlineStr">
        <is>
          <t>Break-even note</t>
        </is>
      </c>
      <c r="B19" t="inlineStr">
        <is>
          <t>Technical break-even when monthly revenue &gt;= fixed costs (~979 EUR). In base scenario: around Month 5-6.</t>
        </is>
      </c>
    </row>
    <row r="20"/>
    <row r="21">
      <c r="A21" t="inlineStr">
        <is>
          <t>Chart data</t>
        </is>
      </c>
    </row>
    <row r="22">
      <c r="A22" t="inlineStr">
        <is>
          <t>Month</t>
        </is>
      </c>
      <c r="B22" t="inlineStr">
        <is>
          <t>M1</t>
        </is>
      </c>
      <c r="C22" t="inlineStr">
        <is>
          <t>M2</t>
        </is>
      </c>
      <c r="D22" t="inlineStr">
        <is>
          <t>M3</t>
        </is>
      </c>
      <c r="E22" t="inlineStr">
        <is>
          <t>M4</t>
        </is>
      </c>
      <c r="F22" t="inlineStr">
        <is>
          <t>M5</t>
        </is>
      </c>
      <c r="G22" t="inlineStr">
        <is>
          <t>M6</t>
        </is>
      </c>
      <c r="H22" t="inlineStr">
        <is>
          <t>M7</t>
        </is>
      </c>
      <c r="I22" t="inlineStr">
        <is>
          <t>M8</t>
        </is>
      </c>
      <c r="J22" t="inlineStr">
        <is>
          <t>M9</t>
        </is>
      </c>
      <c r="K22" t="inlineStr">
        <is>
          <t>M10</t>
        </is>
      </c>
      <c r="L22" t="inlineStr">
        <is>
          <t>M11</t>
        </is>
      </c>
      <c r="M22" t="inlineStr">
        <is>
          <t>M12</t>
        </is>
      </c>
    </row>
    <row r="23">
      <c r="A23" t="inlineStr">
        <is>
          <t>Revenue</t>
        </is>
      </c>
      <c r="B23" t="n">
        <v>150</v>
      </c>
      <c r="C23" t="n">
        <v>200</v>
      </c>
      <c r="D23" t="n">
        <v>300</v>
      </c>
      <c r="E23" t="n">
        <v>700</v>
      </c>
      <c r="F23" t="n">
        <v>900</v>
      </c>
      <c r="G23" t="n">
        <v>1000</v>
      </c>
      <c r="H23" t="n">
        <v>1300</v>
      </c>
      <c r="I23" t="n">
        <v>1500</v>
      </c>
      <c r="J23" t="n">
        <v>1600</v>
      </c>
      <c r="K23" t="n">
        <v>1800</v>
      </c>
      <c r="L23" t="n">
        <v>2000</v>
      </c>
      <c r="M23" t="n">
        <v>2200</v>
      </c>
    </row>
    <row r="24">
      <c r="A24" t="inlineStr">
        <is>
          <t>Fixed costs</t>
        </is>
      </c>
      <c r="B24" t="n">
        <v>979</v>
      </c>
      <c r="C24" t="n">
        <v>979</v>
      </c>
      <c r="D24" t="n">
        <v>979</v>
      </c>
      <c r="E24" t="n">
        <v>979</v>
      </c>
      <c r="F24" t="n">
        <v>979</v>
      </c>
      <c r="G24" t="n">
        <v>979</v>
      </c>
      <c r="H24" t="n">
        <v>979</v>
      </c>
      <c r="I24" t="n">
        <v>979</v>
      </c>
      <c r="J24" t="n">
        <v>979</v>
      </c>
      <c r="K24" t="n">
        <v>979</v>
      </c>
      <c r="L24" t="n">
        <v>979</v>
      </c>
      <c r="M24" t="n">
        <v>979</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8" customWidth="1" min="1" max="1"/>
    <col width="13" customWidth="1" min="2" max="2"/>
    <col width="12" customWidth="1" min="3" max="3"/>
    <col width="12" customWidth="1" min="4" max="4"/>
  </cols>
  <sheetData>
    <row r="1">
      <c r="A1" s="1" t="inlineStr">
        <is>
          <t>YEAR 1 — SCENARIO COMPARISON (Pessimistic / Base / Optimistic)</t>
        </is>
      </c>
    </row>
    <row r="2"/>
    <row r="3">
      <c r="A3" s="6" t="inlineStr">
        <is>
          <t>Metric</t>
        </is>
      </c>
      <c r="B3" s="6" t="inlineStr">
        <is>
          <t>Pessimistic</t>
        </is>
      </c>
      <c r="C3" s="6" t="inlineStr">
        <is>
          <t>Base</t>
        </is>
      </c>
      <c r="D3" s="6" t="inlineStr">
        <is>
          <t>Optimistic</t>
        </is>
      </c>
    </row>
    <row r="4">
      <c r="A4" t="inlineStr">
        <is>
          <t>Total revenue Y1</t>
        </is>
      </c>
      <c r="B4" s="9" t="n">
        <v>7700</v>
      </c>
      <c r="C4" s="9" t="n">
        <v>13650</v>
      </c>
      <c r="D4" s="9" t="n">
        <v>18550</v>
      </c>
    </row>
    <row r="5">
      <c r="A5" t="inlineStr">
        <is>
          <t>Total fixed costs Y1</t>
        </is>
      </c>
      <c r="B5" s="9" t="n">
        <v>11748</v>
      </c>
      <c r="C5" s="9" t="n">
        <v>11748</v>
      </c>
      <c r="D5" s="9" t="n">
        <v>11748</v>
      </c>
    </row>
    <row r="6">
      <c r="A6" t="inlineStr">
        <is>
          <t>Operating result Y1</t>
        </is>
      </c>
      <c r="B6" s="9" t="n">
        <v>-4048</v>
      </c>
      <c r="C6" s="9" t="n">
        <v>1902</v>
      </c>
      <c r="D6" s="9" t="n">
        <v>6802</v>
      </c>
    </row>
    <row r="7">
      <c r="A7" t="inlineStr">
        <is>
          <t>Closing cash Y1</t>
        </is>
      </c>
      <c r="B7" s="9" t="n">
        <v>5952</v>
      </c>
      <c r="C7" s="9" t="n">
        <v>11902</v>
      </c>
      <c r="D7" s="9" t="n">
        <v>16802</v>
      </c>
    </row>
    <row r="8">
      <c r="A8" t="inlineStr">
        <is>
          <t>Minimum cash during Y1</t>
        </is>
      </c>
      <c r="B8" s="9" t="n">
        <v>5239</v>
      </c>
      <c r="C8" s="9" t="n">
        <v>7355</v>
      </c>
      <c r="D8" s="9" t="n">
        <v>8313</v>
      </c>
    </row>
    <row r="9"/>
    <row r="10">
      <c r="A10" s="7" t="inlineStr">
        <is>
          <t>Monthly revenue detail</t>
        </is>
      </c>
    </row>
    <row r="11">
      <c r="A11" s="6" t="inlineStr">
        <is>
          <t>Month</t>
        </is>
      </c>
      <c r="B11" s="6" t="inlineStr">
        <is>
          <t>Pessimistic</t>
        </is>
      </c>
      <c r="C11" s="6" t="inlineStr">
        <is>
          <t>Base</t>
        </is>
      </c>
      <c r="D11" s="6" t="inlineStr">
        <is>
          <t>Optimistic</t>
        </is>
      </c>
    </row>
    <row r="12">
      <c r="A12" t="inlineStr">
        <is>
          <t>M1</t>
        </is>
      </c>
      <c r="B12" s="9" t="n">
        <v>0</v>
      </c>
      <c r="C12" s="9" t="n">
        <v>150</v>
      </c>
      <c r="D12" s="9" t="n">
        <v>250</v>
      </c>
    </row>
    <row r="13">
      <c r="A13" t="inlineStr">
        <is>
          <t>M2</t>
        </is>
      </c>
      <c r="B13" s="9" t="n">
        <v>100</v>
      </c>
      <c r="C13" s="9" t="n">
        <v>200</v>
      </c>
      <c r="D13" s="9" t="n">
        <v>400</v>
      </c>
    </row>
    <row r="14">
      <c r="A14" t="inlineStr">
        <is>
          <t>M3</t>
        </is>
      </c>
      <c r="B14" s="9" t="n">
        <v>150</v>
      </c>
      <c r="C14" s="9" t="n">
        <v>300</v>
      </c>
      <c r="D14" s="9" t="n">
        <v>600</v>
      </c>
    </row>
    <row r="15">
      <c r="A15" t="inlineStr">
        <is>
          <t>M4</t>
        </is>
      </c>
      <c r="B15" s="9" t="n">
        <v>300</v>
      </c>
      <c r="C15" s="9" t="n">
        <v>700</v>
      </c>
      <c r="D15" s="9" t="n">
        <v>1000</v>
      </c>
    </row>
    <row r="16">
      <c r="A16" t="inlineStr">
        <is>
          <t>M5</t>
        </is>
      </c>
      <c r="B16" s="9" t="n">
        <v>450</v>
      </c>
      <c r="C16" s="9" t="n">
        <v>900</v>
      </c>
      <c r="D16" s="9" t="n">
        <v>1200</v>
      </c>
    </row>
    <row r="17">
      <c r="A17" t="inlineStr">
        <is>
          <t>M6</t>
        </is>
      </c>
      <c r="B17" s="9" t="n">
        <v>550</v>
      </c>
      <c r="C17" s="9" t="n">
        <v>1000</v>
      </c>
      <c r="D17" s="9" t="n">
        <v>1400</v>
      </c>
    </row>
    <row r="18">
      <c r="A18" t="inlineStr">
        <is>
          <t>M7</t>
        </is>
      </c>
      <c r="B18" s="9" t="n">
        <v>700</v>
      </c>
      <c r="C18" s="9" t="n">
        <v>1300</v>
      </c>
      <c r="D18" s="9" t="n">
        <v>1700</v>
      </c>
    </row>
    <row r="19">
      <c r="A19" t="inlineStr">
        <is>
          <t>M8</t>
        </is>
      </c>
      <c r="B19" s="9" t="n">
        <v>850</v>
      </c>
      <c r="C19" s="9" t="n">
        <v>1500</v>
      </c>
      <c r="D19" s="9" t="n">
        <v>2000</v>
      </c>
    </row>
    <row r="20">
      <c r="A20" t="inlineStr">
        <is>
          <t>M9</t>
        </is>
      </c>
      <c r="B20" s="9" t="n">
        <v>950</v>
      </c>
      <c r="C20" s="9" t="n">
        <v>1600</v>
      </c>
      <c r="D20" s="9" t="n">
        <v>2200</v>
      </c>
    </row>
    <row r="21">
      <c r="A21" t="inlineStr">
        <is>
          <t>M10</t>
        </is>
      </c>
      <c r="B21" s="9" t="n">
        <v>1100</v>
      </c>
      <c r="C21" s="9" t="n">
        <v>1800</v>
      </c>
      <c r="D21" s="9" t="n">
        <v>2400</v>
      </c>
    </row>
    <row r="22">
      <c r="A22" t="inlineStr">
        <is>
          <t>M11</t>
        </is>
      </c>
      <c r="B22" s="9" t="n">
        <v>1200</v>
      </c>
      <c r="C22" s="9" t="n">
        <v>2000</v>
      </c>
      <c r="D22" s="9" t="n">
        <v>2600</v>
      </c>
    </row>
    <row r="23">
      <c r="A23" t="inlineStr">
        <is>
          <t>M12</t>
        </is>
      </c>
      <c r="B23" s="9" t="n">
        <v>1350</v>
      </c>
      <c r="C23" s="9" t="n">
        <v>2200</v>
      </c>
      <c r="D23" s="9" t="n">
        <v>2800</v>
      </c>
    </row>
    <row r="24"/>
    <row r="25">
      <c r="A25" t="inlineStr">
        <is>
          <t>Stress test conclusion</t>
        </is>
      </c>
    </row>
    <row r="26">
      <c r="A26" t="inlineStr">
        <is>
          <t>Even in the pessimistic scenario, minimum cash stays positive thanks to the 10,000 EUR seed. Living costs remain covered at or above IPREM throughout Year 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28" customWidth="1" min="1" max="1"/>
    <col width="28" customWidth="1" min="2" max="2"/>
    <col width="12" customWidth="1" min="3" max="3"/>
    <col width="28" customWidth="1" min="4" max="4"/>
  </cols>
  <sheetData>
    <row r="1">
      <c r="A1" s="1" t="inlineStr">
        <is>
          <t>THREE-YEAR P&amp;L SUMMARY (BASE SCENARIO)</t>
        </is>
      </c>
    </row>
    <row r="2"/>
    <row r="3">
      <c r="A3" s="6" t="inlineStr">
        <is>
          <t>Concept</t>
        </is>
      </c>
      <c r="B3" s="6" t="inlineStr">
        <is>
          <t>Year 1</t>
        </is>
      </c>
      <c r="C3" s="6" t="inlineStr">
        <is>
          <t>Year 2</t>
        </is>
      </c>
      <c r="D3" s="6" t="inlineStr">
        <is>
          <t>Year 3</t>
        </is>
      </c>
    </row>
    <row r="4">
      <c r="A4" t="inlineStr">
        <is>
          <t>Revenue</t>
        </is>
      </c>
      <c r="B4" t="n">
        <v>13650</v>
      </c>
      <c r="C4" s="9" t="n">
        <v>16380</v>
      </c>
      <c r="D4" s="9" t="n">
        <v>19328.4</v>
      </c>
    </row>
    <row r="5">
      <c r="A5" t="inlineStr">
        <is>
          <t>Operating costs (incl. living allocation)</t>
        </is>
      </c>
      <c r="B5" s="9" t="n">
        <v>11748</v>
      </c>
      <c r="C5" s="9" t="n">
        <v>13800</v>
      </c>
      <c r="D5" s="9" t="n">
        <v>15000</v>
      </c>
    </row>
    <row r="6">
      <c r="A6" t="inlineStr">
        <is>
          <t>Operating result</t>
        </is>
      </c>
      <c r="B6" s="9" t="n">
        <v>1902</v>
      </c>
      <c r="C6" s="9" t="n">
        <v>2580</v>
      </c>
      <c r="D6" s="9" t="n">
        <v>4328.400000000001</v>
      </c>
    </row>
    <row r="7">
      <c r="A7" t="inlineStr">
        <is>
          <t>Closing cash (cumulative)</t>
        </is>
      </c>
      <c r="B7" s="9" t="n">
        <v>11902</v>
      </c>
      <c r="C7" s="9" t="n">
        <v>14482</v>
      </c>
      <c r="D7" s="9" t="n">
        <v>18810.4</v>
      </c>
    </row>
    <row r="8">
      <c r="A8" t="inlineStr">
        <is>
          <t>Avg monthly revenue</t>
        </is>
      </c>
      <c r="B8" s="9" t="n">
        <v>1137.5</v>
      </c>
      <c r="C8" s="9" t="n">
        <v>1365</v>
      </c>
      <c r="D8" s="9" t="n">
        <v>1610.7</v>
      </c>
    </row>
    <row r="9">
      <c r="A9" t="inlineStr">
        <is>
          <t>Avg monthly fixed costs</t>
        </is>
      </c>
      <c r="B9" s="9" t="n">
        <v>979</v>
      </c>
      <c r="C9" s="9" t="n">
        <v>1150</v>
      </c>
      <c r="D9" s="9" t="n">
        <v>1250</v>
      </c>
    </row>
    <row r="10"/>
    <row r="11">
      <c r="A11" t="inlineStr">
        <is>
          <t>Notes</t>
        </is>
      </c>
    </row>
    <row r="12">
      <c r="A12" s="10" t="inlineStr">
        <is>
          <t>Years 2-3 assume gradual growth after reputation building. Fixed costs increase mainly due to higher RETA contribution when leaving the flat rate and slightly higher tooling. No aggressive revenue jumps. Figures are estimates for viability assessment, not guaranteed outcomes.</t>
        </is>
      </c>
    </row>
    <row r="13"/>
    <row r="14"/>
    <row r="15"/>
    <row r="16">
      <c r="A16" t="inlineStr">
        <is>
          <t>Billable hours logic (illustrative, Base Y1 average)</t>
        </is>
      </c>
    </row>
    <row r="17">
      <c r="A17" t="inlineStr">
        <is>
          <t>If average rate = 45 EUR/h (mid-market remote), Year 1 revenue implies approx.:</t>
        </is>
      </c>
    </row>
    <row r="18">
      <c r="A18" t="n">
        <v>303.3</v>
      </c>
      <c r="B18" t="inlineStr">
        <is>
          <t xml:space="preserve">billable hours in the full year (~ </t>
        </is>
      </c>
      <c r="C18" t="n">
        <v>25.3</v>
      </c>
      <c r="D18" t="inlineStr">
        <is>
          <t>h/month on average — conservative for a solo consultant)</t>
        </is>
      </c>
    </row>
  </sheetData>
  <mergeCells count="1">
    <mergeCell ref="A12:D1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28" customWidth="1" min="1" max="1"/>
    <col width="15" customWidth="1" min="2" max="2"/>
    <col width="28" customWidth="1" min="3" max="3"/>
    <col width="24" customWidth="1" min="4" max="4"/>
    <col width="28" customWidth="1" min="5" max="5"/>
  </cols>
  <sheetData>
    <row r="1">
      <c r="A1" s="1" t="inlineStr">
        <is>
          <t>CAPEX INVENTORY — ALREADY EXECUTED (HOME OFFICE)</t>
        </is>
      </c>
    </row>
    <row r="2">
      <c r="A2" t="inlineStr">
        <is>
          <t>Replace estimated amounts with invoice figures before submission to ATA.</t>
        </is>
      </c>
    </row>
    <row r="3"/>
    <row r="4">
      <c r="A4" s="6" t="inlineStr">
        <is>
          <t>Asset</t>
        </is>
      </c>
      <c r="B4" s="6" t="inlineStr">
        <is>
          <t>Estimated EUR</t>
        </is>
      </c>
      <c r="C4" s="6" t="inlineStr">
        <is>
          <t>Owner</t>
        </is>
      </c>
      <c r="D4" s="6" t="inlineStr">
        <is>
          <t>Invoice attached (Y/N)</t>
        </is>
      </c>
      <c r="E4" s="6" t="inlineStr">
        <is>
          <t>Notes</t>
        </is>
      </c>
    </row>
    <row r="5">
      <c r="A5" t="inlineStr">
        <is>
          <t>Apple MacBook Pro (workstation)</t>
        </is>
      </c>
      <c r="B5" s="9" t="n">
        <v>2400</v>
      </c>
      <c r="C5" t="inlineStr">
        <is>
          <t>Ricardo [Last Name] / or Renzo + assignment</t>
        </is>
      </c>
      <c r="D5" t="inlineStr">
        <is>
          <t>[ ]</t>
        </is>
      </c>
      <c r="E5" t="inlineStr">
        <is>
          <t>Insert invoice or bank proof</t>
        </is>
      </c>
    </row>
    <row r="6">
      <c r="A6" t="inlineStr">
        <is>
          <t>2x LG UltraGear 27" monitors</t>
        </is>
      </c>
      <c r="B6" s="9" t="n">
        <v>450</v>
      </c>
      <c r="C6" t="inlineStr">
        <is>
          <t>Ricardo [Last Name] / or Renzo + assignment</t>
        </is>
      </c>
      <c r="D6" t="inlineStr">
        <is>
          <t>[ ]</t>
        </is>
      </c>
      <c r="E6" t="inlineStr">
        <is>
          <t>Insert invoice or bank proof</t>
        </is>
      </c>
    </row>
    <row r="7">
      <c r="A7" t="inlineStr">
        <is>
          <t>Ergonomic chair</t>
        </is>
      </c>
      <c r="B7" s="9" t="n">
        <v>650</v>
      </c>
      <c r="C7" t="inlineStr">
        <is>
          <t>Ricardo [Last Name] / or Renzo + assignment</t>
        </is>
      </c>
      <c r="D7" t="inlineStr">
        <is>
          <t>[ ]</t>
        </is>
      </c>
      <c r="E7" t="inlineStr">
        <is>
          <t>Insert invoice or bank proof</t>
        </is>
      </c>
    </row>
    <row r="8">
      <c r="A8" t="inlineStr">
        <is>
          <t>Height-adjustable desk</t>
        </is>
      </c>
      <c r="B8" s="9" t="n">
        <v>280</v>
      </c>
      <c r="C8" t="inlineStr">
        <is>
          <t>Ricardo [Last Name] / or Renzo + assignment</t>
        </is>
      </c>
      <c r="D8" t="inlineStr">
        <is>
          <t>[ ]</t>
        </is>
      </c>
      <c r="E8" t="inlineStr">
        <is>
          <t>Insert invoice or bank proof</t>
        </is>
      </c>
    </row>
    <row r="9">
      <c r="A9" s="7" t="inlineStr">
        <is>
          <t>TOTAL CAPEX</t>
        </is>
      </c>
      <c r="B9" s="11" t="n">
        <v>3780</v>
      </c>
    </row>
    <row r="10"/>
    <row r="11">
      <c r="A11" t="inlineStr">
        <is>
          <t>Important</t>
        </is>
      </c>
    </row>
    <row r="12">
      <c r="A12" t="inlineStr">
        <is>
          <t>The 10,000 EUR seed is NOT used to purchase this equipment. Equipment is already available; cash is reserved exclusively for operating runway.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2026-07-21T21:23:30Z</dcterms:created>
  <dcterms:modified xsi:type="dcterms:W3CDTF">2026-07-21T21:23:30Z</dcterms:modified>
</cp:coreProperties>
</file>